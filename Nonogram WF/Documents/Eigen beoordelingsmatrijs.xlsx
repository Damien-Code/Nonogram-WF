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mienocean/Library/Mobile Documents/com~apple~CloudDocs/School/Opdrachten/Software Development/"/>
    </mc:Choice>
  </mc:AlternateContent>
  <xr:revisionPtr revIDLastSave="0" documentId="13_ncr:1_{E78D323E-7A6F-1348-8CA8-0011C559E1AF}" xr6:coauthVersionLast="47" xr6:coauthVersionMax="47" xr10:uidLastSave="{00000000-0000-0000-0000-000000000000}"/>
  <bookViews>
    <workbookView xWindow="0" yWindow="0" windowWidth="28800" windowHeight="18000" xr2:uid="{74D5A91D-75D1-4CF7-BAA3-F5B191934DFD}"/>
  </bookViews>
  <sheets>
    <sheet name="Beoordeling" sheetId="1" r:id="rId1"/>
  </sheets>
  <definedNames>
    <definedName name="_xlnm.Print_Area" localSheetId="0">Beoordeling!$A$9:$E$77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8" i="1" l="1"/>
  <c r="A59" i="1"/>
  <c r="A57" i="1"/>
  <c r="D53" i="1" l="1"/>
  <c r="C53" i="1"/>
  <c r="C60" i="1" s="1"/>
  <c r="F58" i="1" l="1"/>
  <c r="F57" i="1"/>
  <c r="F59" i="1"/>
  <c r="F53" i="1"/>
  <c r="B12" i="1"/>
  <c r="B17" i="1"/>
  <c r="B22" i="1"/>
</calcChain>
</file>

<file path=xl/sharedStrings.xml><?xml version="1.0" encoding="utf-8"?>
<sst xmlns="http://schemas.openxmlformats.org/spreadsheetml/2006/main" count="91" uniqueCount="72">
  <si>
    <t>Student 1</t>
  </si>
  <si>
    <t>Naam</t>
  </si>
  <si>
    <t>&lt;volledige naam&gt;</t>
  </si>
  <si>
    <t>Nummer</t>
  </si>
  <si>
    <t>&lt;student nummer&gt;</t>
  </si>
  <si>
    <t>Cijfer</t>
  </si>
  <si>
    <t>Student 2</t>
  </si>
  <si>
    <t>Student 3</t>
  </si>
  <si>
    <t>Beoordelaar</t>
  </si>
  <si>
    <t>&lt;Beoordelaar&gt;</t>
  </si>
  <si>
    <t>Datum</t>
  </si>
  <si>
    <t>&lt;Datum&gt;</t>
  </si>
  <si>
    <t>*: knockout-criteria. Als hieraan niet voldaan is wordt deze applicatie niet verder nagekeken en het maximum cijfer is dan een 5,0.</t>
  </si>
  <si>
    <t>Criterium</t>
  </si>
  <si>
    <t>Maximaal</t>
  </si>
  <si>
    <t>Behaald</t>
  </si>
  <si>
    <t>Toelichting</t>
  </si>
  <si>
    <t>De applicatie bevat geen compiler errors*</t>
  </si>
  <si>
    <t>De applicatie bevat geen runtime errors*</t>
  </si>
  <si>
    <t>De applicatie gebruikt .NET versie 7 of hoger*</t>
  </si>
  <si>
    <t>De applicatie gebruikt géén externe plugins*</t>
  </si>
  <si>
    <t>De applicatie gebruikt uitsluitend eigen code voor GUI tekenen.*</t>
  </si>
  <si>
    <t xml:space="preserve">Microsoft Coding Conventions zijn toegepast </t>
  </si>
  <si>
    <t>Clean code principes: KISS, DRY en YAGNI zijn toegepast</t>
  </si>
  <si>
    <t>"Code" Namen zoals: variabelen, enums, class, functies, methods en properties zijn in het Engels (comments mogen Nederlands) De inhoud van een string mag dus wel in het Nederlands. string EnglishName = "Mag Nederlandse tekst zijn"; // English of Nederlands commentaar maakt wel een keuze en voer die concequent door.</t>
  </si>
  <si>
    <t>Er is gebruik gemaakt van minimaal 3 algoritmes die input omzetten in andere output of relatief complexe buisinesslogic modules. Een simpele berekening is geen algoritme!</t>
  </si>
  <si>
    <t>Het scherm moet losse objecten kunnen tonen, die interactie kunnen uitvoeren met elkaar (boundary detectie).</t>
  </si>
  <si>
    <t>Er is gebruik gemaakt van multithreading, denk bijvoorbeeld aan een aparte thread voor de het tonen en schrijven naar het scherm.</t>
  </si>
  <si>
    <t>Er is actief gebruik gemaakt van foutafhandeling, moet goede meldingen voor de eindgebruiker.</t>
  </si>
  <si>
    <t xml:space="preserve">Functionele kwaliteit en volledigheid </t>
  </si>
  <si>
    <t>Technische kwaliteit van de applicatie</t>
  </si>
  <si>
    <t>Punten voor de optionele requirements en/of eigen inzicht en/of extra mooie oplossingen en/of creativiteit</t>
  </si>
  <si>
    <t>Applicatie documentatie, kwaliteit en volledigheid</t>
  </si>
  <si>
    <t>Sprint documentatie, kwaliteid en volledigheid</t>
  </si>
  <si>
    <t>Toepassen Scrum methodiek, (naar eer en geweten)</t>
  </si>
  <si>
    <t>Score</t>
  </si>
  <si>
    <t>Individuele beoordeling</t>
  </si>
  <si>
    <t xml:space="preserve">  </t>
  </si>
  <si>
    <t>Beoordelingsformulier Software Development</t>
  </si>
  <si>
    <t>•	De student realiseert op basis van het SDD-document de gewenste softwareoplossing op basis van de in het werkveld geldende technieken (bijvoorbeeld http, Model-View-Controller en REST-services) en standaarden voor het ontwikkelen van softwareoplossingen (Realiseren).
•	De student stelt één of meerdere acceptatietesten op aan de hand van de requirements in het SDD-document zodat het FO gevalideerd kan worden (Management &amp; Control).
•	De student stelt unit- en integratietesten op en voert deze testen uit op de softwareoplossing broncode volgens de in het werkveld gangbare technieken en methoden (Management &amp; Control).
•	De student rapporteert in de vorm een testrapportage over de resultaten van de tests aan diverse stakeholders (Management &amp; Control).
•	De student integreert DevOps-praktijken in de ontwikkeling van software, om de kwaliteit, onderhoudbaarheid en schaalbaarheid van softwareoplossingen te waarborgen, in lijn met moderne industriestandaarden (Management &amp; Control).</t>
  </si>
  <si>
    <t>Leeruitkomsten</t>
  </si>
  <si>
    <t>Er zijn minimaal 2 acceptatietesten beschreven en uitgevoerd</t>
  </si>
  <si>
    <t>Er zijn minimaal 2 unittests beschreven en uitgevoerd</t>
  </si>
  <si>
    <t>Er zijn minimaal 2 integratietesten beschreven en uitgevoerd</t>
  </si>
  <si>
    <t>Studenten</t>
  </si>
  <si>
    <t>Algemene beoordeling</t>
  </si>
  <si>
    <t>Student</t>
  </si>
  <si>
    <t>Totaal mogelijke punten per student</t>
  </si>
  <si>
    <t>Polymorfisme is op een juiste manier toegepast.</t>
  </si>
  <si>
    <t>S1219397</t>
  </si>
  <si>
    <t>Mischa Sasse</t>
  </si>
  <si>
    <t>S1146568</t>
  </si>
  <si>
    <t>Variabelen en commentaar in het engels geschreven.</t>
  </si>
  <si>
    <t>DRY is mogelijk niet 100% toegepast, de rest volgens ons wel.</t>
  </si>
  <si>
    <t>In al ons zelf geschreven methods is PascalCase toegepast en underscores voor private properties/attributes.</t>
  </si>
  <si>
    <t>Onder andere het genereren van een nonogram grid, het genereren van row en col labels en validatie van email en wachtwoord.</t>
  </si>
  <si>
    <t>Los van het grid is alles een object. Zo zijn bijvoorbeeld de hint labels van het nonogram losse objecten.</t>
  </si>
  <si>
    <t>History maakt gebruik van polymorfisme (gamecontroller en historycontroller hebben allebei een method SetWin() maar toepassing wordt anders verwerkt.)</t>
  </si>
  <si>
    <t>Settings maakt gebruik van multithreading omdat het veranderen van thema asynchroon in de database en session zet.</t>
  </si>
  <si>
    <t>Er is gebruik gemaakt van een trycatch die runtime error afhandelt bij het veranderen en ophalen van session. Gebruiker krijgt melding wanneer er iets niet goed is gegaan.</t>
  </si>
  <si>
    <t>Door een goede requirement analyse gemaakt te hebben en deze zo goed mogelijk te hebben toegepast, is de functionele kwaliteit correct en volledig.</t>
  </si>
  <si>
    <t>Technische kwaliteit is compleet, maar er hadden betere oplossingen gevonden kunnen worden bij onderdelen zoals session.</t>
  </si>
  <si>
    <t>Session toegepast. Draagt bij aan UX en technische kwaliteit</t>
  </si>
  <si>
    <t>2 acceptatietesten beschreven in SDD en ze zijn door ons en medestudent uitgevoerd.</t>
  </si>
  <si>
    <t>5 unittesten beschreven in SDD en ze zijn door ons en medestudent uitgevoerd.</t>
  </si>
  <si>
    <t>2 integratietesten beschreven in SDD en ze zijn door ons en medestudent uitgevoerd.</t>
  </si>
  <si>
    <t>SDD, feedback en elke functie is voorzien van commentaar</t>
  </si>
  <si>
    <t>Sprint documentatie is uitgevoerd, maar heeft meer diepgang kunnen hebben</t>
  </si>
  <si>
    <t>Epics, user stories en sprints zo goed mogelijk uitgevoerd</t>
  </si>
  <si>
    <t>Damiën van den IJssel</t>
  </si>
  <si>
    <t>Veel diepgang en zelfreflectie, maar had het anders kunnen aanpakken en door middel van STARR kunnen reflecteren.</t>
  </si>
  <si>
    <t>Meer diepgang kunnen creëren op persoonlijke reflectie.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</si>
</sst>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000000"/>
      <name val="Roboto"/>
    </font>
    <font>
      <sz val="14"/>
      <color rgb="FF000000"/>
      <name val="Roboto"/>
    </font>
    <font>
      <b/>
      <sz val="26"/>
      <color rgb="FFFFFFFF"/>
      <name val="Roboto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5066DB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/>
    <xf numFmtId="164" fontId="1" fillId="0" borderId="0" xfId="0" applyNumberFormat="1" applyFont="1" applyAlignment="1">
      <alignment vertical="top"/>
    </xf>
    <xf numFmtId="0" fontId="2" fillId="0" borderId="0" xfId="0" applyFont="1"/>
    <xf numFmtId="0" fontId="0" fillId="0" borderId="0" xfId="0" applyAlignment="1">
      <alignment vertical="top"/>
    </xf>
    <xf numFmtId="0" fontId="5" fillId="5" borderId="1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vertical="center" wrapText="1"/>
    </xf>
    <xf numFmtId="0" fontId="0" fillId="0" borderId="14" xfId="0" applyBorder="1"/>
    <xf numFmtId="164" fontId="1" fillId="2" borderId="14" xfId="0" applyNumberFormat="1" applyFont="1" applyFill="1" applyBorder="1" applyAlignment="1">
      <alignment vertical="top"/>
    </xf>
    <xf numFmtId="0" fontId="1" fillId="2" borderId="14" xfId="0" applyFont="1" applyFill="1" applyBorder="1"/>
    <xf numFmtId="0" fontId="2" fillId="0" borderId="14" xfId="0" applyFont="1" applyBorder="1"/>
    <xf numFmtId="0" fontId="2" fillId="2" borderId="14" xfId="0" applyFont="1" applyFill="1" applyBorder="1"/>
    <xf numFmtId="164" fontId="1" fillId="2" borderId="14" xfId="0" applyNumberFormat="1" applyFont="1" applyFill="1" applyBorder="1"/>
    <xf numFmtId="0" fontId="1" fillId="2" borderId="15" xfId="0" applyFont="1" applyFill="1" applyBorder="1"/>
    <xf numFmtId="0" fontId="2" fillId="2" borderId="15" xfId="0" applyFont="1" applyFill="1" applyBorder="1"/>
    <xf numFmtId="0" fontId="2" fillId="0" borderId="15" xfId="0" applyFont="1" applyBorder="1"/>
    <xf numFmtId="164" fontId="0" fillId="0" borderId="14" xfId="0" applyNumberFormat="1" applyBorder="1"/>
    <xf numFmtId="0" fontId="3" fillId="0" borderId="14" xfId="0" applyFont="1" applyBorder="1"/>
    <xf numFmtId="0" fontId="1" fillId="2" borderId="14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0" fontId="0" fillId="0" borderId="14" xfId="0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2" fillId="0" borderId="12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left" vertical="center"/>
    </xf>
    <xf numFmtId="0" fontId="4" fillId="6" borderId="14" xfId="0" applyFont="1" applyFill="1" applyBorder="1" applyAlignment="1">
      <alignment horizontal="left" vertical="top" wrapText="1"/>
    </xf>
    <xf numFmtId="0" fontId="0" fillId="4" borderId="0" xfId="0" applyFill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3" borderId="14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08F1-F425-431B-9DF6-82D8DB1D69E5}">
  <dimension ref="A1:F77"/>
  <sheetViews>
    <sheetView showGridLines="0" tabSelected="1" topLeftCell="A29" zoomScale="110" workbookViewId="0">
      <selection activeCell="D45" sqref="D45"/>
    </sheetView>
  </sheetViews>
  <sheetFormatPr baseColWidth="10" defaultColWidth="8.83203125" defaultRowHeight="15" x14ac:dyDescent="0.2"/>
  <cols>
    <col min="1" max="1" width="11.83203125" bestFit="1" customWidth="1"/>
    <col min="2" max="2" width="60.33203125" customWidth="1"/>
    <col min="3" max="3" width="9.5" bestFit="1" customWidth="1"/>
    <col min="4" max="4" width="8.1640625" bestFit="1" customWidth="1"/>
    <col min="5" max="5" width="65.5" customWidth="1"/>
  </cols>
  <sheetData>
    <row r="1" spans="1:6" s="7" customFormat="1" ht="16" thickBot="1" x14ac:dyDescent="0.25">
      <c r="A1" s="8" t="s">
        <v>37</v>
      </c>
      <c r="B1" s="10" t="s">
        <v>37</v>
      </c>
      <c r="C1" s="12"/>
      <c r="D1" s="12"/>
      <c r="E1" s="12"/>
      <c r="F1" s="11" t="s">
        <v>37</v>
      </c>
    </row>
    <row r="2" spans="1:6" s="7" customFormat="1" ht="33" thickBot="1" x14ac:dyDescent="0.25">
      <c r="A2" s="9" t="s">
        <v>37</v>
      </c>
      <c r="B2" s="46" t="s">
        <v>38</v>
      </c>
      <c r="C2" s="47"/>
      <c r="D2" s="47"/>
      <c r="E2" s="48"/>
      <c r="F2" s="13" t="s">
        <v>37</v>
      </c>
    </row>
    <row r="3" spans="1:6" s="7" customFormat="1" x14ac:dyDescent="0.2">
      <c r="A3" s="16" t="s">
        <v>37</v>
      </c>
      <c r="B3" s="14" t="s">
        <v>37</v>
      </c>
      <c r="C3" s="15"/>
      <c r="D3" s="15"/>
      <c r="E3" s="15"/>
      <c r="F3" s="14" t="s">
        <v>37</v>
      </c>
    </row>
    <row r="4" spans="1:6" s="7" customFormat="1" x14ac:dyDescent="0.2"/>
    <row r="5" spans="1:6" s="7" customFormat="1" ht="15" customHeight="1" x14ac:dyDescent="0.2">
      <c r="A5" s="41" t="s">
        <v>40</v>
      </c>
      <c r="B5" s="41"/>
      <c r="C5" s="41"/>
      <c r="D5" s="41"/>
      <c r="E5" s="41"/>
      <c r="F5" s="41"/>
    </row>
    <row r="6" spans="1:6" s="7" customFormat="1" ht="123" customHeight="1" x14ac:dyDescent="0.2">
      <c r="A6" s="49" t="s">
        <v>39</v>
      </c>
      <c r="B6" s="49"/>
      <c r="C6" s="49"/>
      <c r="D6" s="49"/>
      <c r="E6" s="49"/>
      <c r="F6" s="49"/>
    </row>
    <row r="7" spans="1:6" s="7" customFormat="1" x14ac:dyDescent="0.2"/>
    <row r="8" spans="1:6" s="7" customFormat="1" ht="15" customHeight="1" x14ac:dyDescent="0.2">
      <c r="A8" s="41" t="s">
        <v>44</v>
      </c>
      <c r="B8" s="41"/>
      <c r="C8" s="41"/>
      <c r="D8" s="41"/>
      <c r="E8" s="41"/>
      <c r="F8" s="41"/>
    </row>
    <row r="9" spans="1:6" x14ac:dyDescent="0.2">
      <c r="A9" s="23" t="s">
        <v>0</v>
      </c>
      <c r="B9" s="24"/>
    </row>
    <row r="10" spans="1:6" x14ac:dyDescent="0.2">
      <c r="A10" s="19" t="s">
        <v>1</v>
      </c>
      <c r="B10" s="20" t="s">
        <v>69</v>
      </c>
    </row>
    <row r="11" spans="1:6" x14ac:dyDescent="0.2">
      <c r="A11" s="19" t="s">
        <v>3</v>
      </c>
      <c r="B11" s="20" t="s">
        <v>49</v>
      </c>
    </row>
    <row r="12" spans="1:6" x14ac:dyDescent="0.2">
      <c r="A12" s="19" t="s">
        <v>5</v>
      </c>
      <c r="B12" s="22">
        <f>ROUND((D53+D57)/(C53+C57)*9+1,1)</f>
        <v>8.8000000000000007</v>
      </c>
    </row>
    <row r="13" spans="1:6" x14ac:dyDescent="0.2">
      <c r="A13" s="4"/>
      <c r="B13" s="6"/>
    </row>
    <row r="14" spans="1:6" x14ac:dyDescent="0.2">
      <c r="A14" s="19" t="s">
        <v>6</v>
      </c>
      <c r="B14" s="21"/>
    </row>
    <row r="15" spans="1:6" x14ac:dyDescent="0.2">
      <c r="A15" s="19" t="s">
        <v>1</v>
      </c>
      <c r="B15" s="20" t="s">
        <v>50</v>
      </c>
    </row>
    <row r="16" spans="1:6" x14ac:dyDescent="0.2">
      <c r="A16" s="19" t="s">
        <v>3</v>
      </c>
      <c r="B16" s="20" t="s">
        <v>51</v>
      </c>
    </row>
    <row r="17" spans="1:6" x14ac:dyDescent="0.2">
      <c r="A17" s="19" t="s">
        <v>5</v>
      </c>
      <c r="B17" s="22">
        <f>ROUND((D53+D58)/(C53+C58)*9+1,1)</f>
        <v>8.8000000000000007</v>
      </c>
    </row>
    <row r="18" spans="1:6" x14ac:dyDescent="0.2">
      <c r="A18" s="4"/>
      <c r="B18" s="6"/>
    </row>
    <row r="19" spans="1:6" x14ac:dyDescent="0.2">
      <c r="A19" s="19" t="s">
        <v>7</v>
      </c>
      <c r="B19" s="21"/>
    </row>
    <row r="20" spans="1:6" x14ac:dyDescent="0.2">
      <c r="A20" s="19" t="s">
        <v>1</v>
      </c>
      <c r="B20" s="20" t="s">
        <v>2</v>
      </c>
    </row>
    <row r="21" spans="1:6" x14ac:dyDescent="0.2">
      <c r="A21" s="19" t="s">
        <v>3</v>
      </c>
      <c r="B21" s="20" t="s">
        <v>4</v>
      </c>
    </row>
    <row r="22" spans="1:6" x14ac:dyDescent="0.2">
      <c r="A22" s="19" t="s">
        <v>5</v>
      </c>
      <c r="B22" s="22">
        <f>ROUND((D53+D59)/(C53+C59)*9+1,1)</f>
        <v>7.7</v>
      </c>
    </row>
    <row r="23" spans="1:6" x14ac:dyDescent="0.2">
      <c r="A23" s="4"/>
      <c r="B23" s="6"/>
    </row>
    <row r="24" spans="1:6" s="7" customFormat="1" ht="15" customHeight="1" x14ac:dyDescent="0.2">
      <c r="A24" s="41" t="s">
        <v>8</v>
      </c>
      <c r="B24" s="41"/>
      <c r="C24" s="41"/>
      <c r="D24" s="41"/>
      <c r="E24" s="41"/>
      <c r="F24" s="41"/>
    </row>
    <row r="25" spans="1:6" x14ac:dyDescent="0.2">
      <c r="A25" s="23" t="s">
        <v>1</v>
      </c>
      <c r="B25" s="25" t="s">
        <v>9</v>
      </c>
    </row>
    <row r="26" spans="1:6" x14ac:dyDescent="0.2">
      <c r="A26" s="19" t="s">
        <v>10</v>
      </c>
      <c r="B26" s="20" t="s">
        <v>11</v>
      </c>
    </row>
    <row r="28" spans="1:6" s="7" customFormat="1" ht="15" customHeight="1" x14ac:dyDescent="0.2">
      <c r="A28" s="41" t="s">
        <v>45</v>
      </c>
      <c r="B28" s="41"/>
      <c r="C28" s="41"/>
      <c r="D28" s="41"/>
      <c r="E28" s="41"/>
      <c r="F28" s="41"/>
    </row>
    <row r="29" spans="1:6" ht="30.75" customHeight="1" x14ac:dyDescent="0.2">
      <c r="A29" s="43"/>
      <c r="B29" s="43"/>
      <c r="C29" s="42" t="s">
        <v>12</v>
      </c>
      <c r="D29" s="42"/>
      <c r="E29" s="42"/>
      <c r="F29" s="1"/>
    </row>
    <row r="30" spans="1:6" x14ac:dyDescent="0.2">
      <c r="A30" s="43" t="s">
        <v>13</v>
      </c>
      <c r="B30" s="43"/>
      <c r="C30" s="1" t="s">
        <v>14</v>
      </c>
      <c r="D30" s="1" t="s">
        <v>15</v>
      </c>
      <c r="E30" s="1" t="s">
        <v>16</v>
      </c>
      <c r="F30" s="1" t="s">
        <v>5</v>
      </c>
    </row>
    <row r="31" spans="1:6" x14ac:dyDescent="0.2">
      <c r="A31" s="44" t="s">
        <v>17</v>
      </c>
      <c r="B31" s="44"/>
      <c r="C31" s="17">
        <v>0</v>
      </c>
      <c r="D31" s="17">
        <v>0</v>
      </c>
      <c r="E31" s="17"/>
      <c r="F31" s="17"/>
    </row>
    <row r="32" spans="1:6" x14ac:dyDescent="0.2">
      <c r="A32" s="44" t="s">
        <v>18</v>
      </c>
      <c r="B32" s="44"/>
      <c r="C32" s="17">
        <v>0</v>
      </c>
      <c r="D32" s="17">
        <v>0</v>
      </c>
      <c r="E32" s="17"/>
      <c r="F32" s="17"/>
    </row>
    <row r="33" spans="1:6" x14ac:dyDescent="0.2">
      <c r="A33" s="45" t="s">
        <v>19</v>
      </c>
      <c r="B33" s="45"/>
      <c r="C33" s="17">
        <v>0</v>
      </c>
      <c r="D33" s="17">
        <v>0</v>
      </c>
      <c r="E33" s="17"/>
      <c r="F33" s="17"/>
    </row>
    <row r="34" spans="1:6" x14ac:dyDescent="0.2">
      <c r="A34" s="45" t="s">
        <v>20</v>
      </c>
      <c r="B34" s="45"/>
      <c r="C34" s="17">
        <v>0</v>
      </c>
      <c r="D34" s="17">
        <v>0</v>
      </c>
      <c r="E34" s="17"/>
      <c r="F34" s="17"/>
    </row>
    <row r="35" spans="1:6" ht="15" customHeight="1" x14ac:dyDescent="0.2">
      <c r="A35" s="45" t="s">
        <v>21</v>
      </c>
      <c r="B35" s="45"/>
      <c r="C35" s="17">
        <v>0</v>
      </c>
      <c r="D35" s="17">
        <v>0</v>
      </c>
      <c r="E35" s="17"/>
      <c r="F35" s="17"/>
    </row>
    <row r="36" spans="1:6" x14ac:dyDescent="0.2">
      <c r="A36" s="40" t="s">
        <v>22</v>
      </c>
      <c r="B36" s="40"/>
      <c r="C36" s="17">
        <v>10</v>
      </c>
      <c r="D36" s="17">
        <v>10</v>
      </c>
      <c r="E36" s="17" t="s">
        <v>54</v>
      </c>
      <c r="F36" s="17"/>
    </row>
    <row r="37" spans="1:6" x14ac:dyDescent="0.2">
      <c r="A37" s="31" t="s">
        <v>23</v>
      </c>
      <c r="B37" s="31"/>
      <c r="C37" s="17">
        <v>10</v>
      </c>
      <c r="D37" s="17">
        <v>7</v>
      </c>
      <c r="E37" s="17" t="s">
        <v>53</v>
      </c>
      <c r="F37" s="17"/>
    </row>
    <row r="38" spans="1:6" ht="79.5" customHeight="1" x14ac:dyDescent="0.2">
      <c r="A38" s="31" t="s">
        <v>24</v>
      </c>
      <c r="B38" s="31"/>
      <c r="C38" s="17">
        <v>5</v>
      </c>
      <c r="D38" s="17">
        <v>5</v>
      </c>
      <c r="E38" s="17" t="s">
        <v>52</v>
      </c>
      <c r="F38" s="17"/>
    </row>
    <row r="39" spans="1:6" ht="48.75" customHeight="1" x14ac:dyDescent="0.2">
      <c r="A39" s="31" t="s">
        <v>25</v>
      </c>
      <c r="B39" s="31"/>
      <c r="C39" s="17">
        <v>9</v>
      </c>
      <c r="D39" s="17">
        <v>9</v>
      </c>
      <c r="E39" s="17" t="s">
        <v>55</v>
      </c>
      <c r="F39" s="17"/>
    </row>
    <row r="40" spans="1:6" ht="33" customHeight="1" x14ac:dyDescent="0.2">
      <c r="A40" s="31" t="s">
        <v>26</v>
      </c>
      <c r="B40" s="31"/>
      <c r="C40" s="17">
        <v>10</v>
      </c>
      <c r="D40" s="17">
        <v>10</v>
      </c>
      <c r="E40" s="17" t="s">
        <v>56</v>
      </c>
      <c r="F40" s="17"/>
    </row>
    <row r="41" spans="1:6" x14ac:dyDescent="0.2">
      <c r="A41" s="31" t="s">
        <v>48</v>
      </c>
      <c r="B41" s="31"/>
      <c r="C41" s="17">
        <v>10</v>
      </c>
      <c r="D41" s="17">
        <v>7</v>
      </c>
      <c r="E41" s="17" t="s">
        <v>57</v>
      </c>
      <c r="F41" s="17"/>
    </row>
    <row r="42" spans="1:6" ht="33.75" customHeight="1" x14ac:dyDescent="0.2">
      <c r="A42" s="31" t="s">
        <v>27</v>
      </c>
      <c r="B42" s="31"/>
      <c r="C42" s="17">
        <v>5</v>
      </c>
      <c r="D42" s="17">
        <v>5</v>
      </c>
      <c r="E42" s="17" t="s">
        <v>58</v>
      </c>
      <c r="F42" s="17"/>
    </row>
    <row r="43" spans="1:6" ht="32.25" customHeight="1" x14ac:dyDescent="0.2">
      <c r="A43" s="31" t="s">
        <v>28</v>
      </c>
      <c r="B43" s="31"/>
      <c r="C43" s="17">
        <v>10</v>
      </c>
      <c r="D43" s="17">
        <v>8</v>
      </c>
      <c r="E43" s="17" t="s">
        <v>59</v>
      </c>
      <c r="F43" s="17"/>
    </row>
    <row r="44" spans="1:6" x14ac:dyDescent="0.2">
      <c r="A44" s="40" t="s">
        <v>29</v>
      </c>
      <c r="B44" s="40"/>
      <c r="C44" s="17">
        <v>20</v>
      </c>
      <c r="D44" s="17">
        <v>15</v>
      </c>
      <c r="E44" s="17" t="s">
        <v>60</v>
      </c>
      <c r="F44" s="17"/>
    </row>
    <row r="45" spans="1:6" x14ac:dyDescent="0.2">
      <c r="A45" s="40" t="s">
        <v>30</v>
      </c>
      <c r="B45" s="40"/>
      <c r="C45" s="17">
        <v>20</v>
      </c>
      <c r="D45" s="17">
        <v>15</v>
      </c>
      <c r="E45" s="17" t="s">
        <v>61</v>
      </c>
      <c r="F45" s="17"/>
    </row>
    <row r="46" spans="1:6" ht="29.25" customHeight="1" x14ac:dyDescent="0.2">
      <c r="A46" s="31" t="s">
        <v>31</v>
      </c>
      <c r="B46" s="31"/>
      <c r="C46" s="17">
        <v>15</v>
      </c>
      <c r="D46" s="17">
        <v>15</v>
      </c>
      <c r="E46" s="17" t="s">
        <v>62</v>
      </c>
      <c r="F46" s="17"/>
    </row>
    <row r="47" spans="1:6" x14ac:dyDescent="0.2">
      <c r="A47" s="31" t="s">
        <v>41</v>
      </c>
      <c r="B47" s="31"/>
      <c r="C47" s="17">
        <v>20</v>
      </c>
      <c r="D47" s="17">
        <v>15</v>
      </c>
      <c r="E47" s="17" t="s">
        <v>63</v>
      </c>
      <c r="F47" s="17"/>
    </row>
    <row r="48" spans="1:6" x14ac:dyDescent="0.2">
      <c r="A48" s="31" t="s">
        <v>42</v>
      </c>
      <c r="B48" s="31"/>
      <c r="C48" s="17">
        <v>20</v>
      </c>
      <c r="D48" s="17">
        <v>20</v>
      </c>
      <c r="E48" s="17" t="s">
        <v>64</v>
      </c>
      <c r="F48" s="17"/>
    </row>
    <row r="49" spans="1:6" x14ac:dyDescent="0.2">
      <c r="A49" s="31" t="s">
        <v>43</v>
      </c>
      <c r="B49" s="31"/>
      <c r="C49" s="17">
        <v>20</v>
      </c>
      <c r="D49" s="17">
        <v>20</v>
      </c>
      <c r="E49" s="17" t="s">
        <v>65</v>
      </c>
      <c r="F49" s="17"/>
    </row>
    <row r="50" spans="1:6" x14ac:dyDescent="0.2">
      <c r="A50" s="31" t="s">
        <v>32</v>
      </c>
      <c r="B50" s="31"/>
      <c r="C50" s="17">
        <v>10</v>
      </c>
      <c r="D50" s="17">
        <v>10</v>
      </c>
      <c r="E50" s="17" t="s">
        <v>66</v>
      </c>
      <c r="F50" s="17"/>
    </row>
    <row r="51" spans="1:6" x14ac:dyDescent="0.2">
      <c r="A51" s="31" t="s">
        <v>33</v>
      </c>
      <c r="B51" s="31"/>
      <c r="C51" s="17">
        <v>10</v>
      </c>
      <c r="D51" s="17">
        <v>6</v>
      </c>
      <c r="E51" s="17" t="s">
        <v>67</v>
      </c>
      <c r="F51" s="17"/>
    </row>
    <row r="52" spans="1:6" x14ac:dyDescent="0.2">
      <c r="A52" s="31" t="s">
        <v>34</v>
      </c>
      <c r="B52" s="31"/>
      <c r="C52" s="17">
        <v>10</v>
      </c>
      <c r="D52" s="17">
        <v>10</v>
      </c>
      <c r="E52" s="17" t="s">
        <v>68</v>
      </c>
      <c r="F52" s="17"/>
    </row>
    <row r="53" spans="1:6" x14ac:dyDescent="0.2">
      <c r="A53" s="18"/>
      <c r="B53" s="28" t="s">
        <v>35</v>
      </c>
      <c r="C53" s="19">
        <f>SUM(C31:C52)</f>
        <v>214</v>
      </c>
      <c r="D53" s="19">
        <f>SUM(D31:D52)</f>
        <v>187</v>
      </c>
      <c r="E53" s="18"/>
      <c r="F53" s="18">
        <f>ROUND(D53/C53*9+1,1)</f>
        <v>8.9</v>
      </c>
    </row>
    <row r="55" spans="1:6" s="7" customFormat="1" ht="15" customHeight="1" x14ac:dyDescent="0.2">
      <c r="A55" s="41" t="s">
        <v>36</v>
      </c>
      <c r="B55" s="41"/>
      <c r="C55" s="41"/>
      <c r="D55" s="41"/>
      <c r="E55" s="41"/>
      <c r="F55" s="41"/>
    </row>
    <row r="56" spans="1:6" x14ac:dyDescent="0.2">
      <c r="A56" s="32" t="s">
        <v>46</v>
      </c>
      <c r="B56" s="33"/>
      <c r="C56" s="19" t="s">
        <v>14</v>
      </c>
      <c r="D56" s="19" t="s">
        <v>15</v>
      </c>
      <c r="E56" s="19" t="s">
        <v>16</v>
      </c>
      <c r="F56" s="19" t="s">
        <v>5</v>
      </c>
    </row>
    <row r="57" spans="1:6" x14ac:dyDescent="0.2">
      <c r="A57" s="34" t="str">
        <f>_xlfn.CONCAT("Reflectie document en bewijs inbreng ",$B$10)</f>
        <v>Reflectie document en bewijs inbreng Damiën van den IJssel</v>
      </c>
      <c r="B57" s="35"/>
      <c r="C57" s="17">
        <v>36</v>
      </c>
      <c r="D57" s="17">
        <v>30</v>
      </c>
      <c r="E57" s="17" t="s">
        <v>70</v>
      </c>
      <c r="F57" s="26">
        <f>ROUND((D53+D57)/(C53+C57)*9+1,1)</f>
        <v>8.8000000000000007</v>
      </c>
    </row>
    <row r="58" spans="1:6" x14ac:dyDescent="0.2">
      <c r="A58" s="36" t="str">
        <f>_xlfn.CONCAT("Reflectie document en bewijs inbreng ",$B$15)</f>
        <v>Reflectie document en bewijs inbreng Mischa Sasse</v>
      </c>
      <c r="B58" s="37"/>
      <c r="C58" s="17">
        <v>36</v>
      </c>
      <c r="D58" s="17">
        <v>30</v>
      </c>
      <c r="E58" s="17" t="s">
        <v>71</v>
      </c>
      <c r="F58" s="26">
        <f>ROUND((D53+D58)/(C53+C58)*9+1,1)</f>
        <v>8.8000000000000007</v>
      </c>
    </row>
    <row r="59" spans="1:6" x14ac:dyDescent="0.2">
      <c r="A59" s="38" t="str">
        <f>_xlfn.CONCAT("Reflectie document en bewijs inbreng ",$B$20)</f>
        <v>Reflectie document en bewijs inbreng &lt;volledige naam&gt;</v>
      </c>
      <c r="B59" s="39"/>
      <c r="C59" s="20">
        <v>36</v>
      </c>
      <c r="D59" s="20"/>
      <c r="E59" s="27"/>
      <c r="F59" s="26">
        <f>ROUND((D53+D59)/(C53+C59)*9+1,1)</f>
        <v>7.7</v>
      </c>
    </row>
    <row r="60" spans="1:6" x14ac:dyDescent="0.2">
      <c r="A60" s="29" t="s">
        <v>47</v>
      </c>
      <c r="B60" s="30"/>
      <c r="C60" s="19">
        <f>C53+C57</f>
        <v>250</v>
      </c>
      <c r="D60" s="19"/>
      <c r="E60" s="19"/>
      <c r="F60" s="19"/>
    </row>
    <row r="62" spans="1:6" x14ac:dyDescent="0.2">
      <c r="B62" s="3"/>
    </row>
    <row r="63" spans="1:6" x14ac:dyDescent="0.2">
      <c r="B63" s="3"/>
    </row>
    <row r="64" spans="1:6" x14ac:dyDescent="0.2">
      <c r="B64" s="3"/>
    </row>
    <row r="66" spans="2:5" x14ac:dyDescent="0.2">
      <c r="B66" s="3"/>
    </row>
    <row r="68" spans="2:5" x14ac:dyDescent="0.2">
      <c r="B68" s="2"/>
    </row>
    <row r="69" spans="2:5" x14ac:dyDescent="0.2">
      <c r="B69" s="3"/>
    </row>
    <row r="70" spans="2:5" x14ac:dyDescent="0.2">
      <c r="B70" s="2"/>
    </row>
    <row r="72" spans="2:5" x14ac:dyDescent="0.2">
      <c r="B72" s="3"/>
    </row>
    <row r="73" spans="2:5" x14ac:dyDescent="0.2">
      <c r="B73" s="3"/>
    </row>
    <row r="76" spans="2:5" x14ac:dyDescent="0.2">
      <c r="B76" s="2"/>
    </row>
    <row r="77" spans="2:5" x14ac:dyDescent="0.2">
      <c r="B77" s="4"/>
      <c r="C77" s="4"/>
      <c r="D77" s="4"/>
      <c r="E77" s="5"/>
    </row>
  </sheetData>
  <mergeCells count="37">
    <mergeCell ref="B2:E2"/>
    <mergeCell ref="A6:F6"/>
    <mergeCell ref="A5:F5"/>
    <mergeCell ref="A8:F8"/>
    <mergeCell ref="A29:B29"/>
    <mergeCell ref="A24:F24"/>
    <mergeCell ref="A28:F28"/>
    <mergeCell ref="A55:F55"/>
    <mergeCell ref="C29:E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60:B60"/>
    <mergeCell ref="A52:B52"/>
    <mergeCell ref="A56:B56"/>
    <mergeCell ref="A57:B57"/>
    <mergeCell ref="A58:B58"/>
    <mergeCell ref="A59:B5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1b9161-ac94-4ac3-bed3-7b6deef98a96">
      <Terms xmlns="http://schemas.microsoft.com/office/infopath/2007/PartnerControls"/>
    </lcf76f155ced4ddcb4097134ff3c332f>
    <TaxCatchAll xmlns="341b9384-f5a4-4f26-9718-82f43acbf8d8" xsi:nil="true"/>
    <Status xmlns="c21b9161-ac94-4ac3-bed3-7b6deef98a96">Nog uitvoeren</Status>
    <StatusComaker xmlns="c21b9161-ac94-4ac3-bed3-7b6deef98a96" xsi:nil="true"/>
    <Assessoren xmlns="c21b9161-ac94-4ac3-bed3-7b6deef98a96">
      <UserInfo>
        <DisplayName/>
        <AccountId xsi:nil="true"/>
        <AccountType/>
      </UserInfo>
    </Assessoren>
    <Inleverdatumherkansing xmlns="c21b9161-ac94-4ac3-bed3-7b6deef98a96" xsi:nil="true"/>
    <Notitie xmlns="c21b9161-ac94-4ac3-bed3-7b6deef98a96" xsi:nil="true"/>
    <Cijfer xmlns="c21b9161-ac94-4ac3-bed3-7b6deef98a96" xsi:nil="true"/>
    <Opleveringcompleet_x003f_ xmlns="c21b9161-ac94-4ac3-bed3-7b6deef98a96">true</Opleveringcompleet_x003f_>
    <StatusCoMaker0 xmlns="c21b9161-ac94-4ac3-bed3-7b6deef98a96" xsi:nil="true"/>
    <Opmerkingen xmlns="c21b9161-ac94-4ac3-bed3-7b6deef98a96" xsi:nil="true"/>
    <Opmerking xmlns="c21b9161-ac94-4ac3-bed3-7b6deef98a9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BE49CE0787D14C8F3940629C3F1BC4" ma:contentTypeVersion="28" ma:contentTypeDescription="Een nieuw document maken." ma:contentTypeScope="" ma:versionID="5f062a3c2c033e91f39059fc81c7c531">
  <xsd:schema xmlns:xsd="http://www.w3.org/2001/XMLSchema" xmlns:xs="http://www.w3.org/2001/XMLSchema" xmlns:p="http://schemas.microsoft.com/office/2006/metadata/properties" xmlns:ns2="c21b9161-ac94-4ac3-bed3-7b6deef98a96" xmlns:ns3="341b9384-f5a4-4f26-9718-82f43acbf8d8" targetNamespace="http://schemas.microsoft.com/office/2006/metadata/properties" ma:root="true" ma:fieldsID="1ea60efbb9838202e117698119cf7d55" ns2:_="" ns3:_="">
    <xsd:import namespace="c21b9161-ac94-4ac3-bed3-7b6deef98a96"/>
    <xsd:import namespace="341b9384-f5a4-4f26-9718-82f43acbf8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Cijfer" minOccurs="0"/>
                <xsd:element ref="ns2:Status"/>
                <xsd:element ref="ns2:StatusComaker" minOccurs="0"/>
                <xsd:element ref="ns2:StatusCoMaker0" minOccurs="0"/>
                <xsd:element ref="ns2:Notitie" minOccurs="0"/>
                <xsd:element ref="ns2:Assessoren" minOccurs="0"/>
                <xsd:element ref="ns2:Inleverdatumherkansing" minOccurs="0"/>
                <xsd:element ref="ns2:Opleveringcompleet_x003f_" minOccurs="0"/>
                <xsd:element ref="ns2:MediaServiceObjectDetectorVersions" minOccurs="0"/>
                <xsd:element ref="ns2:MediaServiceSearchProperties" minOccurs="0"/>
                <xsd:element ref="ns2:Opmerkingen" minOccurs="0"/>
                <xsd:element ref="ns2:Opmerki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9161-ac94-4ac3-bed3-7b6deef98a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1c6a0e08-1576-455b-af28-552984f92f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ijfer" ma:index="24" nillable="true" ma:displayName="Cijfer" ma:decimals="1" ma:description="Behaalde cijfer" ma:format="Dropdown" ma:internalName="Cijfer" ma:percentage="FALSE">
      <xsd:simpleType>
        <xsd:restriction base="dms:Number"/>
      </xsd:simpleType>
    </xsd:element>
    <xsd:element name="Status" ma:index="25" ma:displayName="Status" ma:default="Nog uitvoeren" ma:format="Dropdown" ma:internalName="Status">
      <xsd:simpleType>
        <xsd:restriction base="dms:Choice">
          <xsd:enumeration value="Nog uitvoeren"/>
          <xsd:enumeration value="Behaald"/>
          <xsd:enumeration value="Onvoldoende"/>
        </xsd:restriction>
      </xsd:simpleType>
    </xsd:element>
    <xsd:element name="StatusComaker" ma:index="26" nillable="true" ma:displayName="Status Comaker" ma:format="RadioButtons" ma:internalName="StatusComaker">
      <xsd:simpleType>
        <xsd:restriction base="dms:Choice">
          <xsd:enumeration value="Uitvoeren"/>
          <xsd:enumeration value="Voldaan"/>
          <xsd:enumeration value="Herkansing"/>
        </xsd:restriction>
      </xsd:simpleType>
    </xsd:element>
    <xsd:element name="StatusCoMaker0" ma:index="27" nillable="true" ma:displayName="Status Comakership" ma:format="Dropdown" ma:internalName="StatusCoMaker0">
      <xsd:simpleType>
        <xsd:restriction base="dms:Choice">
          <xsd:enumeration value="Nog uitvoeren"/>
          <xsd:enumeration value="Voldaan"/>
          <xsd:enumeration value="Herkansing"/>
          <xsd:enumeration value="OUD"/>
          <xsd:enumeration value="Cancelled"/>
          <xsd:enumeration value="Toegang geweigerd"/>
        </xsd:restriction>
      </xsd:simpleType>
    </xsd:element>
    <xsd:element name="Notitie" ma:index="28" nillable="true" ma:displayName="Notitie" ma:format="Dropdown" ma:internalName="Notitie">
      <xsd:simpleType>
        <xsd:restriction base="dms:Note">
          <xsd:maxLength value="255"/>
        </xsd:restriction>
      </xsd:simpleType>
    </xsd:element>
    <xsd:element name="Assessoren" ma:index="29" nillable="true" ma:displayName="Assessoren" ma:format="Dropdown" ma:list="UserInfo" ma:SharePointGroup="0" ma:internalName="Assessoren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leverdatumherkansing" ma:index="30" nillable="true" ma:displayName="Inleverdatum herkansing" ma:format="DateOnly" ma:internalName="Inleverdatumherkansing">
      <xsd:simpleType>
        <xsd:restriction base="dms:DateTime"/>
      </xsd:simpleType>
    </xsd:element>
    <xsd:element name="Opleveringcompleet_x003f_" ma:index="31" nillable="true" ma:displayName="Oplevering compleet?" ma:default="1" ma:format="Dropdown" ma:internalName="Opleveringcompleet_x003f_">
      <xsd:simpleType>
        <xsd:restriction base="dms:Boolean"/>
      </xsd:simple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pmerkingen" ma:index="34" nillable="true" ma:displayName="Opmerkingen" ma:format="Dropdown" ma:internalName="Opmerkingen">
      <xsd:simpleType>
        <xsd:restriction base="dms:Note">
          <xsd:maxLength value="255"/>
        </xsd:restriction>
      </xsd:simpleType>
    </xsd:element>
    <xsd:element name="Opmerking" ma:index="35" nillable="true" ma:displayName="Opmerking" ma:format="Dropdown" ma:internalName="Opmerkin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b9384-f5a4-4f26-9718-82f43acbf8d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2d10278-cd37-4bff-9c05-27e63b57e1e9}" ma:internalName="TaxCatchAll" ma:showField="CatchAllData" ma:web="341b9384-f5a4-4f26-9718-82f43acbf8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0CC1C6-FC52-4830-BFCB-99C580C75CAB}">
  <ds:schemaRefs>
    <ds:schemaRef ds:uri="http://schemas.microsoft.com/office/2006/metadata/properties"/>
    <ds:schemaRef ds:uri="http://schemas.microsoft.com/office/infopath/2007/PartnerControls"/>
    <ds:schemaRef ds:uri="c21b9161-ac94-4ac3-bed3-7b6deef98a96"/>
    <ds:schemaRef ds:uri="341b9384-f5a4-4f26-9718-82f43acbf8d8"/>
  </ds:schemaRefs>
</ds:datastoreItem>
</file>

<file path=customXml/itemProps2.xml><?xml version="1.0" encoding="utf-8"?>
<ds:datastoreItem xmlns:ds="http://schemas.openxmlformats.org/officeDocument/2006/customXml" ds:itemID="{C6542D58-CC10-455C-AC7E-5EF7E5450C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1b9161-ac94-4ac3-bed3-7b6deef98a96"/>
    <ds:schemaRef ds:uri="341b9384-f5a4-4f26-9718-82f43acbf8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6B0E55-407A-4BED-BA1B-55566F46760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6377b7-70c4-4493-a338-095918d327e9}" enabled="0" method="" siteId="{e36377b7-70c4-4493-a338-095918d327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Beoordeling</vt:lpstr>
      <vt:lpstr>Beoordeling!Afdrukbereik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 van Zuilichem</dc:creator>
  <cp:keywords/>
  <dc:description/>
  <cp:lastModifiedBy>Damiën van den IJssel (student)</cp:lastModifiedBy>
  <cp:revision/>
  <dcterms:created xsi:type="dcterms:W3CDTF">2023-10-10T08:16:37Z</dcterms:created>
  <dcterms:modified xsi:type="dcterms:W3CDTF">2025-04-07T11:47:27Z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0x01010045BE49CE0787D14C8F3940629C3F1BC4</vt:lpwstr>
  </property>
  <property fmtid="{D5CDD505-2E9C-101B-9397-08002B2CF9AE}" pid="3" name="MediaServiceImageTags">
    <vt:lpwstr/>
  </property>
</Properties>
</file>